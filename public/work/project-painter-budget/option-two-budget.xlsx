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/5Tnb7XDSPvKSsUTOUyjNaMP/QqgPoGgdfRmdAUFhQ="/>
    </ext>
  </extLst>
</workbook>
</file>

<file path=xl/sharedStrings.xml><?xml version="1.0" encoding="utf-8"?>
<sst xmlns="http://schemas.openxmlformats.org/spreadsheetml/2006/main" count="73" uniqueCount="35">
  <si>
    <t>2025 Cost Table</t>
  </si>
  <si>
    <t>Comparison Table</t>
  </si>
  <si>
    <t>Item Name</t>
  </si>
  <si>
    <t>Cost Date</t>
  </si>
  <si>
    <t>Cost</t>
  </si>
  <si>
    <t>Cumulative Cost</t>
  </si>
  <si>
    <t>Planned Cost</t>
  </si>
  <si>
    <t>Planned Cumulative Cost</t>
  </si>
  <si>
    <t>Acutal Cost</t>
  </si>
  <si>
    <t>Acutal Cumulative Cost</t>
  </si>
  <si>
    <t>Variance</t>
  </si>
  <si>
    <t>Project Start</t>
  </si>
  <si>
    <t>PaintTech EasyDry Paint Booth (Deposit)</t>
  </si>
  <si>
    <t>Facility Inspection Fees</t>
  </si>
  <si>
    <t>LADBS Building Permit</t>
  </si>
  <si>
    <t>LADBS Electrical Permit</t>
  </si>
  <si>
    <t>LADBS Mechanical Permit</t>
  </si>
  <si>
    <t>LAFD Sprinkler Permit</t>
  </si>
  <si>
    <t>SCAQMD Permit to Construct</t>
  </si>
  <si>
    <t>SCAQMD Permit to Operate</t>
  </si>
  <si>
    <t>Facility Prep (Electrical, HVAC) Week 1</t>
  </si>
  <si>
    <t>Equipment rentals (Boom lift, etc.) Week 1</t>
  </si>
  <si>
    <t>Equipment Rentals (Boom lift, etc.) Week 1</t>
  </si>
  <si>
    <t>Facility Prep (Electrical, HVAC) Week 2</t>
  </si>
  <si>
    <t>Order Dry Chem System</t>
  </si>
  <si>
    <t>Equipment rentals (Boom lift, etc.) Week 2</t>
  </si>
  <si>
    <t>Equipment rentals (Boom lift, etc.) Week 3</t>
  </si>
  <si>
    <t>Equipment Rentals (Boom lift, etc.) Week 2</t>
  </si>
  <si>
    <t>PaintTech EasyDry Paint Booth (Remaining upon delivery)</t>
  </si>
  <si>
    <t>Equipment Rentals (Boom lift, etc.) Week 3</t>
  </si>
  <si>
    <t>Paint Booth installation</t>
  </si>
  <si>
    <t>Sprinkler installation</t>
  </si>
  <si>
    <t>Dry Chem System Installation Labor</t>
  </si>
  <si>
    <t>Updated 2025 Cost Table</t>
  </si>
  <si>
    <t>Sprinkler installation - Waived, Costs Incurred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</si>
</sst>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_);[Red]\(&quot;$&quot;#,##0\)"/>
  </numFmts>
  <fonts count="4">
    <font>
      <sz val="12.0"/>
      <color theme="1"/>
      <name val="Aptos Narrow"/>
      <scheme val="minor"/>
    </font>
    <font>
      <b/>
      <sz val="11.0"/>
      <color theme="1"/>
      <name val="Aptos Narrow"/>
    </font>
    <font>
      <b/>
      <sz val="12.0"/>
      <color theme="1"/>
      <name val="Aptos Narrow"/>
    </font>
    <font>
      <sz val="12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</fills>
  <borders count="2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3" fontId="1" numFmtId="0" xfId="0" applyAlignment="1" applyBorder="1" applyFill="1" applyFont="1">
      <alignment horizontal="center" vertical="top"/>
    </xf>
    <xf borderId="5" fillId="3" fontId="1" numFmtId="14" xfId="0" applyAlignment="1" applyBorder="1" applyFont="1" applyNumberFormat="1">
      <alignment horizontal="center" vertical="top"/>
    </xf>
    <xf borderId="6" fillId="3" fontId="1" numFmtId="0" xfId="0" applyAlignment="1" applyBorder="1" applyFont="1">
      <alignment horizontal="center" vertical="top"/>
    </xf>
    <xf borderId="4" fillId="3" fontId="2" numFmtId="0" xfId="0" applyAlignment="1" applyBorder="1" applyFont="1">
      <alignment horizontal="center" vertical="top"/>
    </xf>
    <xf borderId="5" fillId="3" fontId="2" numFmtId="14" xfId="0" applyAlignment="1" applyBorder="1" applyFont="1" applyNumberFormat="1">
      <alignment horizontal="center" vertical="top"/>
    </xf>
    <xf borderId="7" fillId="3" fontId="2" numFmtId="14" xfId="0" applyAlignment="1" applyBorder="1" applyFont="1" applyNumberFormat="1">
      <alignment horizontal="center" vertical="top"/>
    </xf>
    <xf borderId="4" fillId="3" fontId="2" numFmtId="14" xfId="0" applyAlignment="1" applyBorder="1" applyFont="1" applyNumberFormat="1">
      <alignment horizontal="center" vertical="top"/>
    </xf>
    <xf borderId="5" fillId="3" fontId="2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left"/>
    </xf>
    <xf borderId="9" fillId="0" fontId="3" numFmtId="14" xfId="0" applyAlignment="1" applyBorder="1" applyFont="1" applyNumberFormat="1">
      <alignment horizontal="center" shrinkToFit="0" vertical="center" wrapText="1"/>
    </xf>
    <xf borderId="9" fillId="0" fontId="3" numFmtId="164" xfId="0" applyAlignment="1" applyBorder="1" applyFont="1" applyNumberForma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shrinkToFit="0" vertical="center" wrapText="1"/>
    </xf>
    <xf borderId="11" fillId="0" fontId="3" numFmtId="164" xfId="0" applyAlignment="1" applyBorder="1" applyFont="1" applyNumberFormat="1">
      <alignment horizontal="center" shrinkToFit="0" vertical="center" wrapText="1"/>
    </xf>
    <xf borderId="12" fillId="0" fontId="3" numFmtId="164" xfId="0" applyAlignment="1" applyBorder="1" applyFont="1" applyNumberFormat="1">
      <alignment horizontal="center" vertical="top"/>
    </xf>
    <xf borderId="13" fillId="0" fontId="3" numFmtId="0" xfId="0" applyAlignment="1" applyBorder="1" applyFont="1">
      <alignment horizontal="left"/>
    </xf>
    <xf borderId="14" fillId="0" fontId="3" numFmtId="14" xfId="0" applyAlignment="1" applyBorder="1" applyFont="1" applyNumberFormat="1">
      <alignment horizontal="center" shrinkToFit="0" vertical="center" wrapText="1"/>
    </xf>
    <xf borderId="14" fillId="0" fontId="3" numFmtId="164" xfId="0" applyAlignment="1" applyBorder="1" applyFont="1" applyNumberFormat="1">
      <alignment horizontal="center" shrinkToFit="0" vertical="center" wrapText="1"/>
    </xf>
    <xf borderId="15" fillId="0" fontId="3" numFmtId="164" xfId="0" applyAlignment="1" applyBorder="1" applyFont="1" applyNumberFormat="1">
      <alignment horizontal="center" shrinkToFit="0" vertical="center" wrapText="1"/>
    </xf>
    <xf borderId="16" fillId="0" fontId="3" numFmtId="164" xfId="0" applyAlignment="1" applyBorder="1" applyFont="1" applyNumberFormat="1">
      <alignment horizontal="center" shrinkToFit="0" vertical="center" wrapText="1"/>
    </xf>
    <xf borderId="13" fillId="4" fontId="3" numFmtId="0" xfId="0" applyAlignment="1" applyBorder="1" applyFill="1" applyFont="1">
      <alignment horizontal="left"/>
    </xf>
    <xf borderId="17" fillId="4" fontId="3" numFmtId="164" xfId="0" applyAlignment="1" applyBorder="1" applyFont="1" applyNumberFormat="1">
      <alignment horizontal="center" shrinkToFit="0" vertical="center" wrapText="1"/>
    </xf>
    <xf borderId="14" fillId="4" fontId="3" numFmtId="165" xfId="0" applyAlignment="1" applyBorder="1" applyFont="1" applyNumberFormat="1">
      <alignment horizontal="center"/>
    </xf>
    <xf borderId="12" fillId="4" fontId="3" numFmtId="164" xfId="0" applyAlignment="1" applyBorder="1" applyFont="1" applyNumberFormat="1">
      <alignment horizontal="center" vertical="top"/>
    </xf>
    <xf borderId="0" fillId="0" fontId="3" numFmtId="14" xfId="0" applyFont="1" applyNumberFormat="1"/>
    <xf borderId="14" fillId="0" fontId="3" numFmtId="164" xfId="0" applyAlignment="1" applyBorder="1" applyFont="1" applyNumberFormat="1">
      <alignment horizontal="center"/>
    </xf>
    <xf borderId="14" fillId="0" fontId="3" numFmtId="14" xfId="0" applyAlignment="1" applyBorder="1" applyFont="1" applyNumberFormat="1">
      <alignment horizontal="center"/>
    </xf>
    <xf borderId="16" fillId="0" fontId="3" numFmtId="14" xfId="0" applyAlignment="1" applyBorder="1" applyFont="1" applyNumberFormat="1">
      <alignment horizontal="center"/>
    </xf>
    <xf borderId="18" fillId="0" fontId="3" numFmtId="0" xfId="0" applyAlignment="1" applyBorder="1" applyFont="1">
      <alignment horizontal="left"/>
    </xf>
    <xf borderId="19" fillId="0" fontId="3" numFmtId="14" xfId="0" applyAlignment="1" applyBorder="1" applyFont="1" applyNumberFormat="1">
      <alignment horizontal="center"/>
    </xf>
    <xf borderId="19" fillId="0" fontId="3" numFmtId="164" xfId="0" applyAlignment="1" applyBorder="1" applyFont="1" applyNumberFormat="1">
      <alignment horizontal="center"/>
    </xf>
    <xf borderId="20" fillId="0" fontId="3" numFmtId="164" xfId="0" applyAlignment="1" applyBorder="1" applyFont="1" applyNumberFormat="1">
      <alignment horizontal="center" shrinkToFit="0" vertical="center" wrapText="1"/>
    </xf>
    <xf borderId="18" fillId="4" fontId="3" numFmtId="0" xfId="0" applyAlignment="1" applyBorder="1" applyFont="1">
      <alignment horizontal="left"/>
    </xf>
    <xf borderId="19" fillId="4" fontId="3" numFmtId="164" xfId="0" applyAlignment="1" applyBorder="1" applyFont="1" applyNumberFormat="1">
      <alignment horizontal="center"/>
    </xf>
    <xf borderId="19" fillId="0" fontId="3" numFmtId="164" xfId="0" applyAlignment="1" applyBorder="1" applyFont="1" applyNumberFormat="1">
      <alignment horizontal="center" shrinkToFit="0" vertical="center" wrapText="1"/>
    </xf>
    <xf borderId="21" fillId="0" fontId="3" numFmtId="164" xfId="0" applyAlignment="1" applyBorder="1" applyFont="1" applyNumberFormat="1">
      <alignment horizontal="center" shrinkToFit="0" vertical="center" wrapText="1"/>
    </xf>
    <xf borderId="22" fillId="4" fontId="3" numFmtId="164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 vertical="top"/>
    </xf>
    <xf borderId="0" fillId="0" fontId="3" numFmtId="14" xfId="0" applyAlignment="1" applyFont="1" applyNumberFormat="1">
      <alignment horizontal="center" shrinkToFit="0" vertical="center" wrapText="1"/>
    </xf>
    <xf borderId="14" fillId="0" fontId="3" numFmtId="165" xfId="0" applyAlignment="1" applyBorder="1" applyFont="1" applyNumberFormat="1">
      <alignment horizontal="center"/>
    </xf>
    <xf borderId="0" fillId="0" fontId="3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3.78"/>
    <col customWidth="1" min="2" max="3" width="11.33"/>
    <col customWidth="1" min="4" max="4" width="16.11"/>
    <col customWidth="1" min="5" max="5" width="10.56"/>
    <col customWidth="1" min="6" max="6" width="11.33"/>
    <col customWidth="1" min="7" max="7" width="50.11"/>
    <col customWidth="1" min="8" max="8" width="11.33"/>
    <col customWidth="1" min="9" max="9" width="12.11"/>
    <col customWidth="1" min="10" max="10" width="22.33"/>
    <col customWidth="1" min="11" max="11" width="11.33"/>
    <col customWidth="1" min="12" max="12" width="20.78"/>
    <col customWidth="1" min="13" max="26" width="10.56"/>
  </cols>
  <sheetData>
    <row r="1" ht="15.75" customHeight="1">
      <c r="A1" s="1" t="s">
        <v>0</v>
      </c>
      <c r="B1" s="2"/>
      <c r="C1" s="2"/>
      <c r="D1" s="3"/>
      <c r="G1" s="4" t="s">
        <v>1</v>
      </c>
      <c r="H1" s="5"/>
      <c r="I1" s="5"/>
      <c r="J1" s="5"/>
      <c r="K1" s="5"/>
      <c r="L1" s="5"/>
      <c r="M1" s="6"/>
    </row>
    <row r="2" ht="15.75" customHeight="1">
      <c r="A2" s="7" t="s">
        <v>2</v>
      </c>
      <c r="B2" s="8" t="s">
        <v>3</v>
      </c>
      <c r="C2" s="7" t="s">
        <v>4</v>
      </c>
      <c r="D2" s="9" t="s">
        <v>5</v>
      </c>
      <c r="G2" s="10" t="s">
        <v>2</v>
      </c>
      <c r="H2" s="11" t="s">
        <v>3</v>
      </c>
      <c r="I2" s="12" t="s">
        <v>6</v>
      </c>
      <c r="J2" s="13" t="s">
        <v>7</v>
      </c>
      <c r="K2" s="10" t="s">
        <v>8</v>
      </c>
      <c r="L2" s="14" t="s">
        <v>9</v>
      </c>
      <c r="M2" s="12" t="s">
        <v>10</v>
      </c>
    </row>
    <row r="3" ht="15.75" customHeight="1">
      <c r="A3" s="15" t="s">
        <v>11</v>
      </c>
      <c r="B3" s="16">
        <v>45903.0</v>
      </c>
      <c r="C3" s="17">
        <v>0.0</v>
      </c>
      <c r="D3" s="18">
        <v>0.0</v>
      </c>
      <c r="G3" s="15" t="s">
        <v>11</v>
      </c>
      <c r="H3" s="16">
        <v>45903.0</v>
      </c>
      <c r="I3" s="17">
        <v>0.0</v>
      </c>
      <c r="J3" s="17">
        <f>I3</f>
        <v>0</v>
      </c>
      <c r="K3" s="17">
        <v>0.0</v>
      </c>
      <c r="L3" s="19">
        <v>0.0</v>
      </c>
      <c r="M3" s="20">
        <f t="shared" ref="M3:M21" si="1">L3-J3</f>
        <v>0</v>
      </c>
    </row>
    <row r="4" ht="15.75" customHeight="1">
      <c r="A4" s="21" t="s">
        <v>12</v>
      </c>
      <c r="B4" s="22">
        <v>45915.0</v>
      </c>
      <c r="C4" s="23">
        <v>25000.0</v>
      </c>
      <c r="D4" s="24">
        <v>25000.0</v>
      </c>
      <c r="G4" s="21" t="s">
        <v>12</v>
      </c>
      <c r="H4" s="22">
        <v>45915.0</v>
      </c>
      <c r="I4" s="23">
        <v>25000.0</v>
      </c>
      <c r="J4" s="23">
        <f t="shared" ref="J4:J21" si="2">J3+I4</f>
        <v>25000</v>
      </c>
      <c r="K4" s="23">
        <v>25000.0</v>
      </c>
      <c r="L4" s="25">
        <f t="shared" ref="L4:L21" si="3">L3+K4</f>
        <v>25000</v>
      </c>
      <c r="M4" s="20">
        <f t="shared" si="1"/>
        <v>0</v>
      </c>
    </row>
    <row r="5" ht="15.75" customHeight="1">
      <c r="A5" s="21" t="s">
        <v>13</v>
      </c>
      <c r="B5" s="22">
        <v>45915.0</v>
      </c>
      <c r="C5" s="23">
        <v>1500.0</v>
      </c>
      <c r="D5" s="24">
        <v>26500.0</v>
      </c>
      <c r="G5" s="21" t="s">
        <v>13</v>
      </c>
      <c r="H5" s="22">
        <f t="shared" ref="H5:H11" si="4">H4</f>
        <v>45915</v>
      </c>
      <c r="I5" s="23">
        <v>1500.0</v>
      </c>
      <c r="J5" s="23">
        <f t="shared" si="2"/>
        <v>26500</v>
      </c>
      <c r="K5" s="23">
        <v>1500.0</v>
      </c>
      <c r="L5" s="25">
        <f t="shared" si="3"/>
        <v>26500</v>
      </c>
      <c r="M5" s="20">
        <f t="shared" si="1"/>
        <v>0</v>
      </c>
    </row>
    <row r="6" ht="15.75" customHeight="1">
      <c r="A6" s="21" t="s">
        <v>14</v>
      </c>
      <c r="B6" s="22">
        <v>45915.0</v>
      </c>
      <c r="C6" s="23">
        <v>500.0</v>
      </c>
      <c r="D6" s="24">
        <v>27000.0</v>
      </c>
      <c r="G6" s="21" t="s">
        <v>14</v>
      </c>
      <c r="H6" s="22">
        <f t="shared" si="4"/>
        <v>45915</v>
      </c>
      <c r="I6" s="23">
        <v>500.0</v>
      </c>
      <c r="J6" s="23">
        <f t="shared" si="2"/>
        <v>27000</v>
      </c>
      <c r="K6" s="23">
        <v>500.0</v>
      </c>
      <c r="L6" s="25">
        <f t="shared" si="3"/>
        <v>27000</v>
      </c>
      <c r="M6" s="20">
        <f t="shared" si="1"/>
        <v>0</v>
      </c>
    </row>
    <row r="7" ht="15.75" customHeight="1">
      <c r="A7" s="21" t="s">
        <v>15</v>
      </c>
      <c r="B7" s="22">
        <v>45915.0</v>
      </c>
      <c r="C7" s="23">
        <v>150.0</v>
      </c>
      <c r="D7" s="24">
        <v>27150.0</v>
      </c>
      <c r="G7" s="21" t="s">
        <v>15</v>
      </c>
      <c r="H7" s="22">
        <f t="shared" si="4"/>
        <v>45915</v>
      </c>
      <c r="I7" s="23">
        <v>150.0</v>
      </c>
      <c r="J7" s="23">
        <f t="shared" si="2"/>
        <v>27150</v>
      </c>
      <c r="K7" s="23">
        <v>150.0</v>
      </c>
      <c r="L7" s="25">
        <f t="shared" si="3"/>
        <v>27150</v>
      </c>
      <c r="M7" s="20">
        <f t="shared" si="1"/>
        <v>0</v>
      </c>
    </row>
    <row r="8" ht="15.75" customHeight="1">
      <c r="A8" s="21" t="s">
        <v>16</v>
      </c>
      <c r="B8" s="22">
        <v>45915.0</v>
      </c>
      <c r="C8" s="23">
        <v>150.0</v>
      </c>
      <c r="D8" s="24">
        <v>27300.0</v>
      </c>
      <c r="G8" s="21" t="s">
        <v>16</v>
      </c>
      <c r="H8" s="22">
        <f t="shared" si="4"/>
        <v>45915</v>
      </c>
      <c r="I8" s="23">
        <v>150.0</v>
      </c>
      <c r="J8" s="23">
        <f t="shared" si="2"/>
        <v>27300</v>
      </c>
      <c r="K8" s="23">
        <v>150.0</v>
      </c>
      <c r="L8" s="25">
        <f t="shared" si="3"/>
        <v>27300</v>
      </c>
      <c r="M8" s="20">
        <f t="shared" si="1"/>
        <v>0</v>
      </c>
    </row>
    <row r="9" ht="15.75" customHeight="1">
      <c r="A9" s="21" t="s">
        <v>17</v>
      </c>
      <c r="B9" s="22">
        <v>45915.0</v>
      </c>
      <c r="C9" s="23">
        <v>1000.0</v>
      </c>
      <c r="D9" s="24">
        <v>28300.0</v>
      </c>
      <c r="G9" s="21" t="s">
        <v>17</v>
      </c>
      <c r="H9" s="22">
        <f t="shared" si="4"/>
        <v>45915</v>
      </c>
      <c r="I9" s="23">
        <v>1000.0</v>
      </c>
      <c r="J9" s="23">
        <f t="shared" si="2"/>
        <v>28300</v>
      </c>
      <c r="K9" s="23">
        <v>1000.0</v>
      </c>
      <c r="L9" s="25">
        <f t="shared" si="3"/>
        <v>28300</v>
      </c>
      <c r="M9" s="20">
        <f t="shared" si="1"/>
        <v>0</v>
      </c>
    </row>
    <row r="10" ht="15.75" customHeight="1">
      <c r="A10" s="21" t="s">
        <v>18</v>
      </c>
      <c r="B10" s="22">
        <v>45915.0</v>
      </c>
      <c r="C10" s="23">
        <v>1400.0</v>
      </c>
      <c r="D10" s="24">
        <v>29700.0</v>
      </c>
      <c r="G10" s="21" t="s">
        <v>18</v>
      </c>
      <c r="H10" s="22">
        <f t="shared" si="4"/>
        <v>45915</v>
      </c>
      <c r="I10" s="23">
        <v>1400.0</v>
      </c>
      <c r="J10" s="23">
        <f t="shared" si="2"/>
        <v>29700</v>
      </c>
      <c r="K10" s="23">
        <v>1400.0</v>
      </c>
      <c r="L10" s="25">
        <f t="shared" si="3"/>
        <v>29700</v>
      </c>
      <c r="M10" s="20">
        <f t="shared" si="1"/>
        <v>0</v>
      </c>
    </row>
    <row r="11" ht="15.75" customHeight="1">
      <c r="A11" s="21" t="s">
        <v>19</v>
      </c>
      <c r="B11" s="22">
        <v>45915.0</v>
      </c>
      <c r="C11" s="23">
        <v>1200.0</v>
      </c>
      <c r="D11" s="24">
        <v>30900.0</v>
      </c>
      <c r="G11" s="21" t="s">
        <v>19</v>
      </c>
      <c r="H11" s="22">
        <f t="shared" si="4"/>
        <v>45915</v>
      </c>
      <c r="I11" s="23">
        <v>1200.0</v>
      </c>
      <c r="J11" s="23">
        <f t="shared" si="2"/>
        <v>30900</v>
      </c>
      <c r="K11" s="23">
        <v>1200.0</v>
      </c>
      <c r="L11" s="25">
        <f t="shared" si="3"/>
        <v>30900</v>
      </c>
      <c r="M11" s="20">
        <f t="shared" si="1"/>
        <v>0</v>
      </c>
    </row>
    <row r="12" ht="15.75" customHeight="1">
      <c r="A12" s="21" t="s">
        <v>20</v>
      </c>
      <c r="B12" s="22">
        <v>45915.0</v>
      </c>
      <c r="C12" s="23">
        <v>2500.0</v>
      </c>
      <c r="D12" s="24">
        <v>33400.0</v>
      </c>
      <c r="G12" s="21" t="s">
        <v>20</v>
      </c>
      <c r="H12" s="22">
        <v>45915.0</v>
      </c>
      <c r="I12" s="23">
        <v>2500.0</v>
      </c>
      <c r="J12" s="23">
        <f t="shared" si="2"/>
        <v>33400</v>
      </c>
      <c r="K12" s="23">
        <v>2500.0</v>
      </c>
      <c r="L12" s="25">
        <f t="shared" si="3"/>
        <v>33400</v>
      </c>
      <c r="M12" s="20">
        <f t="shared" si="1"/>
        <v>0</v>
      </c>
    </row>
    <row r="13" ht="15.75" customHeight="1">
      <c r="A13" s="21" t="s">
        <v>21</v>
      </c>
      <c r="B13" s="22">
        <v>45915.0</v>
      </c>
      <c r="C13" s="23">
        <v>665.0</v>
      </c>
      <c r="D13" s="24">
        <v>34065.0</v>
      </c>
      <c r="G13" s="21" t="s">
        <v>22</v>
      </c>
      <c r="H13" s="22">
        <f>H12</f>
        <v>45915</v>
      </c>
      <c r="I13" s="23">
        <v>665.0</v>
      </c>
      <c r="J13" s="23">
        <f t="shared" si="2"/>
        <v>34065</v>
      </c>
      <c r="K13" s="23">
        <v>665.0</v>
      </c>
      <c r="L13" s="25">
        <f t="shared" si="3"/>
        <v>34065</v>
      </c>
      <c r="M13" s="20">
        <f t="shared" si="1"/>
        <v>0</v>
      </c>
    </row>
    <row r="14" ht="15.75" customHeight="1">
      <c r="A14" s="21" t="s">
        <v>23</v>
      </c>
      <c r="B14" s="22">
        <v>45922.0</v>
      </c>
      <c r="C14" s="23">
        <v>2500.0</v>
      </c>
      <c r="D14" s="24">
        <v>36565.0</v>
      </c>
      <c r="G14" s="26" t="s">
        <v>24</v>
      </c>
      <c r="H14" s="22">
        <v>45920.0</v>
      </c>
      <c r="I14" s="27">
        <v>0.0</v>
      </c>
      <c r="J14" s="23">
        <f t="shared" si="2"/>
        <v>34065</v>
      </c>
      <c r="K14" s="28">
        <v>8000.0</v>
      </c>
      <c r="L14" s="25">
        <f t="shared" si="3"/>
        <v>42065</v>
      </c>
      <c r="M14" s="29">
        <f t="shared" si="1"/>
        <v>8000</v>
      </c>
    </row>
    <row r="15" ht="15.75" customHeight="1">
      <c r="A15" s="21" t="s">
        <v>25</v>
      </c>
      <c r="B15" s="22">
        <v>45922.0</v>
      </c>
      <c r="C15" s="23">
        <v>665.0</v>
      </c>
      <c r="D15" s="24">
        <v>37230.0</v>
      </c>
      <c r="G15" s="21" t="s">
        <v>23</v>
      </c>
      <c r="H15" s="22">
        <v>45922.0</v>
      </c>
      <c r="I15" s="23">
        <v>2500.0</v>
      </c>
      <c r="J15" s="23">
        <f t="shared" si="2"/>
        <v>36565</v>
      </c>
      <c r="K15" s="23">
        <v>2500.0</v>
      </c>
      <c r="L15" s="25">
        <f t="shared" si="3"/>
        <v>44565</v>
      </c>
      <c r="M15" s="20">
        <f t="shared" si="1"/>
        <v>8000</v>
      </c>
    </row>
    <row r="16" ht="15.75" customHeight="1">
      <c r="A16" s="21" t="s">
        <v>26</v>
      </c>
      <c r="B16" s="22">
        <v>45927.0</v>
      </c>
      <c r="C16" s="23">
        <v>665.0</v>
      </c>
      <c r="D16" s="24">
        <v>37895.0</v>
      </c>
      <c r="G16" s="21" t="s">
        <v>27</v>
      </c>
      <c r="H16" s="22">
        <v>45922.0</v>
      </c>
      <c r="I16" s="23">
        <v>665.0</v>
      </c>
      <c r="J16" s="23">
        <f t="shared" si="2"/>
        <v>37230</v>
      </c>
      <c r="K16" s="23">
        <v>665.0</v>
      </c>
      <c r="L16" s="25">
        <f t="shared" si="3"/>
        <v>45230</v>
      </c>
      <c r="M16" s="20">
        <f t="shared" si="1"/>
        <v>8000</v>
      </c>
    </row>
    <row r="17" ht="15.75" customHeight="1">
      <c r="A17" s="21" t="s">
        <v>28</v>
      </c>
      <c r="B17" s="30">
        <v>45949.0</v>
      </c>
      <c r="C17" s="31">
        <v>25000.0</v>
      </c>
      <c r="D17" s="24">
        <v>62895.0</v>
      </c>
      <c r="G17" s="21" t="s">
        <v>29</v>
      </c>
      <c r="H17" s="22">
        <v>45927.0</v>
      </c>
      <c r="I17" s="23">
        <v>665.0</v>
      </c>
      <c r="J17" s="23">
        <f t="shared" si="2"/>
        <v>37895</v>
      </c>
      <c r="K17" s="23">
        <v>665.0</v>
      </c>
      <c r="L17" s="25">
        <f t="shared" si="3"/>
        <v>45895</v>
      </c>
      <c r="M17" s="20">
        <f t="shared" si="1"/>
        <v>8000</v>
      </c>
    </row>
    <row r="18" ht="15.75" customHeight="1">
      <c r="A18" s="21" t="s">
        <v>30</v>
      </c>
      <c r="B18" s="32">
        <v>45950.0</v>
      </c>
      <c r="C18" s="31">
        <v>4887.142857142857</v>
      </c>
      <c r="D18" s="24">
        <v>67782.14285714286</v>
      </c>
      <c r="G18" s="21" t="s">
        <v>28</v>
      </c>
      <c r="H18" s="33">
        <v>45949.0</v>
      </c>
      <c r="I18" s="31">
        <v>25000.0</v>
      </c>
      <c r="J18" s="23">
        <f t="shared" si="2"/>
        <v>62895</v>
      </c>
      <c r="K18" s="31">
        <v>25000.0</v>
      </c>
      <c r="L18" s="25">
        <f t="shared" si="3"/>
        <v>70895</v>
      </c>
      <c r="M18" s="20">
        <f t="shared" si="1"/>
        <v>8000</v>
      </c>
    </row>
    <row r="19" ht="15.75" customHeight="1">
      <c r="A19" s="34" t="s">
        <v>31</v>
      </c>
      <c r="B19" s="35">
        <v>45955.0</v>
      </c>
      <c r="C19" s="36">
        <v>12217.857142857143</v>
      </c>
      <c r="D19" s="37">
        <v>80000.0</v>
      </c>
      <c r="G19" s="21" t="s">
        <v>30</v>
      </c>
      <c r="H19" s="32">
        <v>45950.0</v>
      </c>
      <c r="I19" s="31">
        <v>4887.142857142857</v>
      </c>
      <c r="J19" s="23">
        <f t="shared" si="2"/>
        <v>67782.14286</v>
      </c>
      <c r="K19" s="31">
        <v>4887.142857142857</v>
      </c>
      <c r="L19" s="25">
        <f t="shared" si="3"/>
        <v>75782.14286</v>
      </c>
      <c r="M19" s="20">
        <f t="shared" si="1"/>
        <v>8000</v>
      </c>
    </row>
    <row r="20" ht="15.75" customHeight="1">
      <c r="G20" s="26" t="s">
        <v>32</v>
      </c>
      <c r="H20" s="22">
        <v>45955.0</v>
      </c>
      <c r="I20" s="27">
        <v>0.0</v>
      </c>
      <c r="J20" s="23">
        <f t="shared" si="2"/>
        <v>67782.14286</v>
      </c>
      <c r="K20" s="28">
        <v>1000.0</v>
      </c>
      <c r="L20" s="25">
        <f t="shared" si="3"/>
        <v>76782.14286</v>
      </c>
      <c r="M20" s="29">
        <f t="shared" si="1"/>
        <v>9000</v>
      </c>
    </row>
    <row r="21" ht="15.75" customHeight="1">
      <c r="G21" s="38" t="s">
        <v>31</v>
      </c>
      <c r="H21" s="35">
        <v>45955.0</v>
      </c>
      <c r="I21" s="39">
        <v>12217.857142857143</v>
      </c>
      <c r="J21" s="40">
        <f t="shared" si="2"/>
        <v>80000</v>
      </c>
      <c r="K21" s="39">
        <v>4218.0</v>
      </c>
      <c r="L21" s="41">
        <f t="shared" si="3"/>
        <v>81000.14286</v>
      </c>
      <c r="M21" s="42">
        <f t="shared" si="1"/>
        <v>1000.142857</v>
      </c>
    </row>
    <row r="22" ht="15.75" customHeight="1">
      <c r="F22" s="43"/>
      <c r="G22" s="43"/>
      <c r="H22" s="43"/>
      <c r="I22" s="43"/>
      <c r="J22" s="43"/>
      <c r="K22" s="43"/>
    </row>
    <row r="23" ht="15.75" customHeight="1">
      <c r="F23" s="44"/>
    </row>
    <row r="24" ht="15.75" customHeight="1">
      <c r="F24" s="45"/>
    </row>
    <row r="25" ht="15.75" customHeight="1">
      <c r="A25" s="1" t="s">
        <v>33</v>
      </c>
      <c r="B25" s="2"/>
      <c r="C25" s="2"/>
      <c r="D25" s="3"/>
      <c r="F25" s="45"/>
    </row>
    <row r="26" ht="15.75" customHeight="1">
      <c r="A26" s="7" t="s">
        <v>2</v>
      </c>
      <c r="B26" s="8" t="s">
        <v>3</v>
      </c>
      <c r="C26" s="7" t="s">
        <v>4</v>
      </c>
      <c r="D26" s="9" t="s">
        <v>5</v>
      </c>
      <c r="F26" s="45"/>
    </row>
    <row r="27" ht="15.75" customHeight="1">
      <c r="A27" s="15" t="s">
        <v>11</v>
      </c>
      <c r="B27" s="16">
        <v>45903.0</v>
      </c>
      <c r="C27" s="17">
        <v>0.0</v>
      </c>
      <c r="D27" s="18">
        <f>C27</f>
        <v>0</v>
      </c>
      <c r="F27" s="45"/>
    </row>
    <row r="28" ht="15.75" customHeight="1">
      <c r="A28" s="21" t="s">
        <v>12</v>
      </c>
      <c r="B28" s="22">
        <v>45915.0</v>
      </c>
      <c r="C28" s="23">
        <v>25000.0</v>
      </c>
      <c r="D28" s="24">
        <f t="shared" ref="D28:D45" si="5">D27+C28</f>
        <v>25000</v>
      </c>
      <c r="F28" s="45"/>
    </row>
    <row r="29" ht="15.75" customHeight="1">
      <c r="A29" s="21" t="s">
        <v>13</v>
      </c>
      <c r="B29" s="22">
        <f t="shared" ref="B29:B35" si="6">B28</f>
        <v>45915</v>
      </c>
      <c r="C29" s="23">
        <v>1500.0</v>
      </c>
      <c r="D29" s="24">
        <f t="shared" si="5"/>
        <v>26500</v>
      </c>
      <c r="F29" s="45"/>
    </row>
    <row r="30" ht="15.75" customHeight="1">
      <c r="A30" s="21" t="s">
        <v>14</v>
      </c>
      <c r="B30" s="22">
        <f t="shared" si="6"/>
        <v>45915</v>
      </c>
      <c r="C30" s="23">
        <v>500.0</v>
      </c>
      <c r="D30" s="24">
        <f t="shared" si="5"/>
        <v>27000</v>
      </c>
      <c r="F30" s="45"/>
    </row>
    <row r="31" ht="15.75" customHeight="1">
      <c r="A31" s="21" t="s">
        <v>15</v>
      </c>
      <c r="B31" s="22">
        <f t="shared" si="6"/>
        <v>45915</v>
      </c>
      <c r="C31" s="23">
        <v>150.0</v>
      </c>
      <c r="D31" s="24">
        <f t="shared" si="5"/>
        <v>27150</v>
      </c>
      <c r="F31" s="45"/>
    </row>
    <row r="32" ht="15.75" customHeight="1">
      <c r="A32" s="21" t="s">
        <v>16</v>
      </c>
      <c r="B32" s="22">
        <f t="shared" si="6"/>
        <v>45915</v>
      </c>
      <c r="C32" s="23">
        <v>150.0</v>
      </c>
      <c r="D32" s="24">
        <f t="shared" si="5"/>
        <v>27300</v>
      </c>
      <c r="F32" s="45"/>
    </row>
    <row r="33" ht="15.75" customHeight="1">
      <c r="A33" s="21" t="s">
        <v>17</v>
      </c>
      <c r="B33" s="22">
        <f t="shared" si="6"/>
        <v>45915</v>
      </c>
      <c r="C33" s="23">
        <v>1000.0</v>
      </c>
      <c r="D33" s="24">
        <f t="shared" si="5"/>
        <v>28300</v>
      </c>
      <c r="F33" s="45"/>
    </row>
    <row r="34" ht="15.75" customHeight="1">
      <c r="A34" s="21" t="s">
        <v>18</v>
      </c>
      <c r="B34" s="22">
        <f t="shared" si="6"/>
        <v>45915</v>
      </c>
      <c r="C34" s="23">
        <v>1400.0</v>
      </c>
      <c r="D34" s="24">
        <f t="shared" si="5"/>
        <v>29700</v>
      </c>
      <c r="F34" s="45"/>
    </row>
    <row r="35" ht="15.75" customHeight="1">
      <c r="A35" s="21" t="s">
        <v>19</v>
      </c>
      <c r="B35" s="22">
        <f t="shared" si="6"/>
        <v>45915</v>
      </c>
      <c r="C35" s="23">
        <v>1200.0</v>
      </c>
      <c r="D35" s="24">
        <f t="shared" si="5"/>
        <v>30900</v>
      </c>
      <c r="F35" s="45"/>
    </row>
    <row r="36" ht="15.75" customHeight="1">
      <c r="A36" s="21" t="s">
        <v>20</v>
      </c>
      <c r="B36" s="22">
        <v>45915.0</v>
      </c>
      <c r="C36" s="23">
        <v>2500.0</v>
      </c>
      <c r="D36" s="24">
        <f t="shared" si="5"/>
        <v>33400</v>
      </c>
      <c r="F36" s="45"/>
    </row>
    <row r="37" ht="15.75" customHeight="1">
      <c r="A37" s="21" t="s">
        <v>22</v>
      </c>
      <c r="B37" s="22">
        <f>B36</f>
        <v>45915</v>
      </c>
      <c r="C37" s="23">
        <v>665.0</v>
      </c>
      <c r="D37" s="24">
        <f t="shared" si="5"/>
        <v>34065</v>
      </c>
      <c r="F37" s="45"/>
    </row>
    <row r="38" ht="15.75" customHeight="1">
      <c r="A38" s="21" t="s">
        <v>24</v>
      </c>
      <c r="B38" s="22">
        <v>45920.0</v>
      </c>
      <c r="C38" s="46">
        <v>8000.0</v>
      </c>
      <c r="D38" s="24">
        <f t="shared" si="5"/>
        <v>42065</v>
      </c>
      <c r="F38" s="30"/>
    </row>
    <row r="39" ht="15.75" customHeight="1">
      <c r="A39" s="21" t="s">
        <v>23</v>
      </c>
      <c r="B39" s="22">
        <v>45922.0</v>
      </c>
      <c r="C39" s="23">
        <v>2500.0</v>
      </c>
      <c r="D39" s="24">
        <f t="shared" si="5"/>
        <v>44565</v>
      </c>
      <c r="F39" s="47"/>
    </row>
    <row r="40" ht="15.75" customHeight="1">
      <c r="A40" s="21" t="s">
        <v>27</v>
      </c>
      <c r="B40" s="22">
        <v>45922.0</v>
      </c>
      <c r="C40" s="23">
        <v>665.0</v>
      </c>
      <c r="D40" s="24">
        <f t="shared" si="5"/>
        <v>45230</v>
      </c>
      <c r="F40" s="47"/>
    </row>
    <row r="41" ht="15.75" customHeight="1">
      <c r="A41" s="21" t="s">
        <v>29</v>
      </c>
      <c r="B41" s="22">
        <v>45927.0</v>
      </c>
      <c r="C41" s="23">
        <v>665.0</v>
      </c>
      <c r="D41" s="24">
        <f t="shared" si="5"/>
        <v>45895</v>
      </c>
    </row>
    <row r="42" ht="15.75" customHeight="1">
      <c r="A42" s="21" t="s">
        <v>28</v>
      </c>
      <c r="B42" s="32">
        <v>45949.0</v>
      </c>
      <c r="C42" s="31">
        <v>25000.0</v>
      </c>
      <c r="D42" s="24">
        <f t="shared" si="5"/>
        <v>70895</v>
      </c>
    </row>
    <row r="43" ht="15.75" customHeight="1">
      <c r="A43" s="21" t="s">
        <v>30</v>
      </c>
      <c r="B43" s="32">
        <v>45950.0</v>
      </c>
      <c r="C43" s="31">
        <v>4887.142857142857</v>
      </c>
      <c r="D43" s="24">
        <f t="shared" si="5"/>
        <v>75782.14286</v>
      </c>
    </row>
    <row r="44" ht="15.75" customHeight="1">
      <c r="A44" s="21" t="s">
        <v>32</v>
      </c>
      <c r="B44" s="22">
        <v>45955.0</v>
      </c>
      <c r="C44" s="46">
        <v>1000.0</v>
      </c>
      <c r="D44" s="24">
        <f t="shared" si="5"/>
        <v>76782.14286</v>
      </c>
    </row>
    <row r="45" ht="15.75" customHeight="1">
      <c r="A45" s="34" t="s">
        <v>34</v>
      </c>
      <c r="B45" s="35">
        <v>45955.0</v>
      </c>
      <c r="C45" s="36">
        <f>C19-8000</f>
        <v>4217.857143</v>
      </c>
      <c r="D45" s="37">
        <f t="shared" si="5"/>
        <v>81000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2025-09-20T20:50:44Z</dcterms:created>
  <dc:creator>binboxu01@hotmail.com</dc:creator>
</cp:coreProperties>
</file>