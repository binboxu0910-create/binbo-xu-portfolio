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solver_cvg">0.0001</definedName>
    <definedName localSheetId="0" name="solver_drv">1</definedName>
    <definedName localSheetId="0" name="solver_eng">2</definedName>
    <definedName localSheetId="0" name="solver_itr">2147483647</definedName>
    <definedName localSheetId="0" name="solver_lin">1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pre">0.000001</definedName>
    <definedName localSheetId="0" name="solver_rbv">1</definedName>
    <definedName localSheetId="0" name="solver_rel1">1</definedName>
    <definedName localSheetId="0" name="solver_rel2">3</definedName>
    <definedName localSheetId="0" name="solver_rhs1">1.2</definedName>
    <definedName localSheetId="0" name="solver_rhs2">0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80000</definedName>
    <definedName localSheetId="0" name="solver_ver">2</definedName>
    <definedName localSheetId="0" name="solver_lhs2">Sheet1!$H$26</definedName>
    <definedName localSheetId="0" name="solver_lhs1">Sheet1!$H$26</definedName>
    <definedName localSheetId="0" name="solver_opt">Sheet1!$J$20</definedName>
    <definedName localSheetId="0" name="solver_adj">Sheet1!$H$26</definedName>
  </definedNames>
  <calcPr/>
  <extLst>
    <ext uri="GoogleSheetsCustomDataVersion2">
      <go:sheetsCustomData xmlns:go="http://customooxmlschemas.google.com/" r:id="rId5" roundtripDataChecksum="z1yrvn/VhoI3blGcMSJ5zXA2oG8ROeQUMGB4G2E2+Rc="/>
    </ext>
  </extLst>
</workbook>
</file>

<file path=xl/sharedStrings.xml><?xml version="1.0" encoding="utf-8"?>
<sst xmlns="http://schemas.openxmlformats.org/spreadsheetml/2006/main" count="50" uniqueCount="35">
  <si>
    <t>2021 Cost Table</t>
  </si>
  <si>
    <t>2025 Cost Table</t>
  </si>
  <si>
    <t>Item Name</t>
  </si>
  <si>
    <t>Cost Date</t>
  </si>
  <si>
    <t>Cost</t>
  </si>
  <si>
    <t>Cumulative Cost</t>
  </si>
  <si>
    <t>Project Start</t>
  </si>
  <si>
    <t>PaintTech EasyDry Paint Booth (Deposit)</t>
  </si>
  <si>
    <t>Facility Inspection Fees</t>
  </si>
  <si>
    <t>LADBS Building Permit</t>
  </si>
  <si>
    <t>LADBS Electrical Permit</t>
  </si>
  <si>
    <t>LADBS Mechanical Permit</t>
  </si>
  <si>
    <t>LADBS Plumbing Permit</t>
  </si>
  <si>
    <t>LAFD Sprinkler Permit</t>
  </si>
  <si>
    <t>SCAQMD Permit to Construct</t>
  </si>
  <si>
    <t>SCAQMD Permit to Operate</t>
  </si>
  <si>
    <t>Facility Prep (Electrical, HVAC) Week 1</t>
  </si>
  <si>
    <t>Facility Prep (Electrical, HVAC)</t>
  </si>
  <si>
    <t>Equipment Rentals (Boom lift, etc.) Week 1</t>
  </si>
  <si>
    <t>Equipment rentals (Boom lift, etc.)</t>
  </si>
  <si>
    <t>Facility Prep (Electrical, HVAC) Week 2</t>
  </si>
  <si>
    <t>PaintTech EasyDry Paint Booth (Remaining upon delivery)</t>
  </si>
  <si>
    <t>Equipment Rentals (Boom lift, etc.) Week 2</t>
  </si>
  <si>
    <t>Paint Booth installation</t>
  </si>
  <si>
    <t>Equipment Rentals (Boom lift, etc.) Week 3</t>
  </si>
  <si>
    <t>Sprinkler installation</t>
  </si>
  <si>
    <t>Sprinkler Installation</t>
  </si>
  <si>
    <t>Assumptions:</t>
  </si>
  <si>
    <t>1. Final quote for the new booth installation is:</t>
  </si>
  <si>
    <t xml:space="preserve">2. Assume that 2025 booth is 144% larger than the 2021 installation </t>
  </si>
  <si>
    <t>based on the final quote of $80,000. Costs are scaled by:</t>
  </si>
  <si>
    <t>3. Equipment rentals are expected to cost:</t>
  </si>
  <si>
    <t>more than last time</t>
  </si>
  <si>
    <t>4. spread facility prep cost into 2 weeks</t>
  </si>
  <si>
    <t>5. spread equipment rentals cost into 3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</si>
</sst>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 vertical="top"/>
    </xf>
    <xf borderId="4" fillId="4" fontId="1" numFmtId="14" xfId="0" applyAlignment="1" applyBorder="1" applyFont="1" applyNumberFormat="1">
      <alignment horizontal="center" vertical="top"/>
    </xf>
    <xf borderId="6" fillId="4" fontId="1" numFmtId="0" xfId="0" applyAlignment="1" applyBorder="1" applyFont="1">
      <alignment horizontal="center" vertical="top"/>
    </xf>
    <xf borderId="8" fillId="5" fontId="1" numFmtId="0" xfId="0" applyAlignment="1" applyBorder="1" applyFill="1" applyFont="1">
      <alignment horizontal="center" vertical="top"/>
    </xf>
    <xf borderId="9" fillId="5" fontId="1" numFmtId="14" xfId="0" applyAlignment="1" applyBorder="1" applyFont="1" applyNumberFormat="1">
      <alignment horizontal="center" vertical="top"/>
    </xf>
    <xf borderId="10" fillId="5" fontId="1" numFmtId="0" xfId="0" applyAlignment="1" applyBorder="1" applyFont="1">
      <alignment horizontal="center" vertical="top"/>
    </xf>
    <xf borderId="11" fillId="0" fontId="3" numFmtId="0" xfId="0" applyAlignment="1" applyBorder="1" applyFont="1">
      <alignment horizontal="left"/>
    </xf>
    <xf borderId="12" fillId="0" fontId="3" numFmtId="14" xfId="0" applyBorder="1" applyFont="1" applyNumberFormat="1"/>
    <xf borderId="12" fillId="0" fontId="3" numFmtId="164" xfId="0" applyBorder="1" applyFont="1" applyNumberFormat="1"/>
    <xf borderId="13" fillId="0" fontId="3" numFmtId="164" xfId="0" applyBorder="1" applyFont="1" applyNumberFormat="1"/>
    <xf borderId="0" fillId="0" fontId="3" numFmtId="14" xfId="0" applyFont="1" applyNumberFormat="1"/>
    <xf borderId="14" fillId="0" fontId="3" numFmtId="0" xfId="0" applyAlignment="1" applyBorder="1" applyFont="1">
      <alignment horizontal="left"/>
    </xf>
    <xf borderId="15" fillId="0" fontId="3" numFmtId="14" xfId="0" applyAlignment="1" applyBorder="1" applyFont="1" applyNumberFormat="1">
      <alignment horizontal="center" shrinkToFit="0" vertical="center" wrapText="1"/>
    </xf>
    <xf borderId="15" fillId="0" fontId="3" numFmtId="165" xfId="0" applyAlignment="1" applyBorder="1" applyFont="1" applyNumberFormat="1">
      <alignment horizontal="center" shrinkToFit="0" vertical="center" wrapText="1"/>
    </xf>
    <xf borderId="16" fillId="0" fontId="3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right"/>
    </xf>
    <xf borderId="17" fillId="0" fontId="3" numFmtId="0" xfId="0" applyBorder="1" applyFont="1"/>
    <xf borderId="18" fillId="0" fontId="3" numFmtId="14" xfId="0" applyBorder="1" applyFont="1" applyNumberFormat="1"/>
    <xf borderId="18" fillId="0" fontId="3" numFmtId="164" xfId="0" applyBorder="1" applyFont="1" applyNumberFormat="1"/>
    <xf borderId="19" fillId="0" fontId="3" numFmtId="164" xfId="0" applyBorder="1" applyFont="1" applyNumberFormat="1"/>
    <xf borderId="17" fillId="0" fontId="3" numFmtId="0" xfId="0" applyAlignment="1" applyBorder="1" applyFont="1">
      <alignment horizontal="left"/>
    </xf>
    <xf borderId="18" fillId="0" fontId="3" numFmtId="14" xfId="0" applyAlignment="1" applyBorder="1" applyFont="1" applyNumberFormat="1">
      <alignment horizontal="center" shrinkToFit="0" vertical="center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19" fillId="0" fontId="3" numFmtId="165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21" fillId="0" fontId="3" numFmtId="14" xfId="0" applyBorder="1" applyFont="1" applyNumberFormat="1"/>
    <xf borderId="21" fillId="0" fontId="3" numFmtId="164" xfId="0" applyBorder="1" applyFont="1" applyNumberFormat="1"/>
    <xf borderId="22" fillId="0" fontId="3" numFmtId="164" xfId="0" applyBorder="1" applyFont="1" applyNumberFormat="1"/>
    <xf borderId="0" fillId="0" fontId="3" numFmtId="14" xfId="0" applyAlignment="1" applyFont="1" applyNumberFormat="1">
      <alignment horizontal="center"/>
    </xf>
    <xf borderId="18" fillId="0" fontId="3" numFmtId="165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18" fillId="0" fontId="3" numFmtId="14" xfId="0" applyAlignment="1" applyBorder="1" applyFont="1" applyNumberFormat="1">
      <alignment horizontal="center"/>
    </xf>
    <xf borderId="20" fillId="0" fontId="3" numFmtId="0" xfId="0" applyAlignment="1" applyBorder="1" applyFont="1">
      <alignment horizontal="left"/>
    </xf>
    <xf borderId="21" fillId="0" fontId="3" numFmtId="14" xfId="0" applyAlignment="1" applyBorder="1" applyFont="1" applyNumberFormat="1">
      <alignment horizontal="center"/>
    </xf>
    <xf borderId="21" fillId="0" fontId="3" numFmtId="165" xfId="0" applyAlignment="1" applyBorder="1" applyFont="1" applyNumberFormat="1">
      <alignment horizontal="center"/>
    </xf>
    <xf borderId="22" fillId="0" fontId="3" numFmtId="165" xfId="0" applyAlignment="1" applyBorder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/>
    </xf>
    <xf borderId="0" fillId="0" fontId="3" numFmtId="9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23" fillId="6" fontId="5" numFmtId="0" xfId="0" applyAlignment="1" applyBorder="1" applyFill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18" fillId="0" fontId="6" numFmtId="0" xfId="0" applyAlignment="1" applyBorder="1" applyFont="1">
      <alignment horizontal="left"/>
    </xf>
    <xf borderId="18" fillId="0" fontId="6" numFmtId="164" xfId="0" applyAlignment="1" applyBorder="1" applyFont="1" applyNumberFormat="1">
      <alignment horizontal="center"/>
    </xf>
    <xf borderId="18" fillId="0" fontId="6" numFmtId="0" xfId="0" applyBorder="1" applyFont="1"/>
    <xf borderId="18" fillId="0" fontId="6" numFmtId="9" xfId="0" applyAlignment="1" applyBorder="1" applyFont="1" applyNumberFormat="1">
      <alignment horizontal="center"/>
    </xf>
    <xf borderId="18" fillId="0" fontId="6" numFmtId="9" xfId="0" applyAlignment="1" applyBorder="1" applyFont="1" applyNumberFormat="1">
      <alignment horizontal="center" shrinkToFit="0" vertical="center" wrapText="1"/>
    </xf>
    <xf borderId="26" fillId="0" fontId="6" numFmtId="164" xfId="0" applyAlignment="1" applyBorder="1" applyFont="1" applyNumberFormat="1">
      <alignment horizontal="left" shrinkToFit="0" vertical="center" wrapText="1"/>
    </xf>
    <xf borderId="27" fillId="0" fontId="2" numFmtId="0" xfId="0" applyBorder="1" applyFont="1"/>
    <xf borderId="18" fillId="0" fontId="6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Cumulative Cost 2021</c:v>
          </c:tx>
          <c:spPr>
            <a:ln cmpd="sng" w="28575">
              <a:solidFill>
                <a:schemeClr val="accent1"/>
              </a:solidFill>
              <a:prstDash val="lgDash"/>
            </a:ln>
          </c:spPr>
          <c:marker>
            <c:symbol val="none"/>
          </c:marker>
          <c:cat>
            <c:strRef>
              <c:f>Sheet1!$H$4:$H$20</c:f>
            </c:strRef>
          </c:cat>
          <c:val>
            <c:numRef>
              <c:f>Sheet1!$E$4:$E$18</c:f>
              <c:numCache/>
            </c:numRef>
          </c:val>
          <c:smooth val="0"/>
        </c:ser>
        <c:ser>
          <c:idx val="1"/>
          <c:order val="1"/>
          <c:tx>
            <c:v>Cumulative Cost 2025</c:v>
          </c:tx>
          <c:spPr>
            <a:ln cmpd="sng" w="28575">
              <a:solidFill>
                <a:schemeClr val="accent2"/>
              </a:solidFill>
              <a:prstDash val="lgDashDot"/>
            </a:ln>
          </c:spPr>
          <c:marker>
            <c:symbol val="none"/>
          </c:marker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cat>
            <c:strRef>
              <c:f>Sheet1!$H$4:$H$20</c:f>
            </c:strRef>
          </c:cat>
          <c:val>
            <c:numRef>
              <c:f>Sheet1!$J$4:$J$20</c:f>
              <c:numCache/>
            </c:numRef>
          </c:val>
          <c:smooth val="0"/>
        </c:ser>
        <c:axId val="1673059877"/>
        <c:axId val="1811133017"/>
      </c:lineChart>
      <c:catAx>
        <c:axId val="1673059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1133017"/>
      </c:catAx>
      <c:valAx>
        <c:axId val="18111330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305987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20</xdr:row>
      <xdr:rowOff>152400</xdr:rowOff>
    </xdr:from>
    <xdr:ext cx="6724650" cy="3848100"/>
    <xdr:graphicFrame>
      <xdr:nvGraphicFramePr>
        <xdr:cNvPr id="8982926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4.71"/>
    <col customWidth="1" min="3" max="3" width="15.0"/>
    <col customWidth="1" min="4" max="4" width="11.71"/>
    <col customWidth="1" min="5" max="5" width="18.29"/>
    <col customWidth="1" min="6" max="6" width="11.29"/>
    <col customWidth="1" min="7" max="7" width="53.86"/>
    <col customWidth="1" min="8" max="9" width="11.29"/>
    <col customWidth="1" min="10" max="10" width="16.14"/>
    <col customWidth="1" min="11" max="11" width="11.29"/>
    <col customWidth="1" min="12" max="12" width="42.86"/>
    <col customWidth="1" min="13" max="14" width="8.86"/>
    <col customWidth="1" min="15" max="15" width="10.71"/>
    <col customWidth="1" min="16" max="26" width="8.86"/>
  </cols>
  <sheetData>
    <row r="2">
      <c r="B2" s="1" t="s">
        <v>0</v>
      </c>
      <c r="C2" s="2"/>
      <c r="D2" s="2"/>
      <c r="E2" s="3"/>
      <c r="G2" s="4" t="s">
        <v>1</v>
      </c>
      <c r="H2" s="5"/>
      <c r="I2" s="5"/>
      <c r="J2" s="6"/>
    </row>
    <row r="3">
      <c r="B3" s="7" t="s">
        <v>2</v>
      </c>
      <c r="C3" s="8" t="s">
        <v>3</v>
      </c>
      <c r="D3" s="7" t="s">
        <v>4</v>
      </c>
      <c r="E3" s="9" t="s">
        <v>5</v>
      </c>
      <c r="G3" s="10" t="s">
        <v>2</v>
      </c>
      <c r="H3" s="11" t="s">
        <v>3</v>
      </c>
      <c r="I3" s="10" t="s">
        <v>4</v>
      </c>
      <c r="J3" s="12" t="s">
        <v>5</v>
      </c>
    </row>
    <row r="4">
      <c r="B4" s="13" t="s">
        <v>6</v>
      </c>
      <c r="C4" s="14">
        <v>44237.0</v>
      </c>
      <c r="D4" s="15">
        <v>0.0</v>
      </c>
      <c r="E4" s="16">
        <v>0.0</v>
      </c>
      <c r="F4" s="17"/>
      <c r="G4" s="18" t="s">
        <v>6</v>
      </c>
      <c r="H4" s="19">
        <v>45903.0</v>
      </c>
      <c r="I4" s="20">
        <v>0.0</v>
      </c>
      <c r="J4" s="21">
        <v>0.0</v>
      </c>
      <c r="K4" s="22"/>
    </row>
    <row r="5">
      <c r="B5" s="23" t="s">
        <v>7</v>
      </c>
      <c r="C5" s="24">
        <v>44254.0</v>
      </c>
      <c r="D5" s="25">
        <v>25000.0</v>
      </c>
      <c r="E5" s="26">
        <v>25000.0</v>
      </c>
      <c r="F5" s="17"/>
      <c r="G5" s="27" t="s">
        <v>7</v>
      </c>
      <c r="H5" s="28">
        <v>45915.0</v>
      </c>
      <c r="I5" s="29">
        <v>25000.0</v>
      </c>
      <c r="J5" s="30">
        <f t="shared" ref="J5:J20" si="1">J4+I5</f>
        <v>25000</v>
      </c>
      <c r="K5" s="22"/>
    </row>
    <row r="6">
      <c r="B6" s="23" t="s">
        <v>8</v>
      </c>
      <c r="C6" s="24">
        <v>44254.0</v>
      </c>
      <c r="D6" s="25">
        <v>1500.0</v>
      </c>
      <c r="E6" s="26">
        <v>26500.0</v>
      </c>
      <c r="F6" s="17"/>
      <c r="G6" s="27" t="s">
        <v>8</v>
      </c>
      <c r="H6" s="28">
        <f t="shared" ref="H6:H12" si="2">H5</f>
        <v>45915</v>
      </c>
      <c r="I6" s="29">
        <v>1500.0</v>
      </c>
      <c r="J6" s="30">
        <f t="shared" si="1"/>
        <v>26500</v>
      </c>
    </row>
    <row r="7">
      <c r="B7" s="23" t="s">
        <v>9</v>
      </c>
      <c r="C7" s="24">
        <v>44254.0</v>
      </c>
      <c r="D7" s="25">
        <v>500.0</v>
      </c>
      <c r="E7" s="26">
        <v>27000.0</v>
      </c>
      <c r="F7" s="17"/>
      <c r="G7" s="27" t="s">
        <v>9</v>
      </c>
      <c r="H7" s="28">
        <f t="shared" si="2"/>
        <v>45915</v>
      </c>
      <c r="I7" s="29">
        <v>500.0</v>
      </c>
      <c r="J7" s="30">
        <f t="shared" si="1"/>
        <v>27000</v>
      </c>
    </row>
    <row r="8">
      <c r="B8" s="23" t="s">
        <v>10</v>
      </c>
      <c r="C8" s="24">
        <v>44254.0</v>
      </c>
      <c r="D8" s="25">
        <v>150.0</v>
      </c>
      <c r="E8" s="26">
        <v>27150.0</v>
      </c>
      <c r="F8" s="17"/>
      <c r="G8" s="27" t="s">
        <v>10</v>
      </c>
      <c r="H8" s="28">
        <f t="shared" si="2"/>
        <v>45915</v>
      </c>
      <c r="I8" s="29">
        <v>150.0</v>
      </c>
      <c r="J8" s="30">
        <f t="shared" si="1"/>
        <v>27150</v>
      </c>
    </row>
    <row r="9">
      <c r="B9" s="23" t="s">
        <v>11</v>
      </c>
      <c r="C9" s="24">
        <v>44254.0</v>
      </c>
      <c r="D9" s="25">
        <v>150.0</v>
      </c>
      <c r="E9" s="26">
        <v>27300.0</v>
      </c>
      <c r="F9" s="17"/>
      <c r="G9" s="27" t="s">
        <v>11</v>
      </c>
      <c r="H9" s="28">
        <f t="shared" si="2"/>
        <v>45915</v>
      </c>
      <c r="I9" s="29">
        <v>150.0</v>
      </c>
      <c r="J9" s="30">
        <f t="shared" si="1"/>
        <v>27300</v>
      </c>
    </row>
    <row r="10">
      <c r="B10" s="23" t="s">
        <v>12</v>
      </c>
      <c r="C10" s="24">
        <v>44254.0</v>
      </c>
      <c r="D10" s="25">
        <v>150.0</v>
      </c>
      <c r="E10" s="26">
        <v>27450.0</v>
      </c>
      <c r="F10" s="17"/>
      <c r="G10" s="27" t="s">
        <v>13</v>
      </c>
      <c r="H10" s="28">
        <f t="shared" si="2"/>
        <v>45915</v>
      </c>
      <c r="I10" s="29">
        <v>1000.0</v>
      </c>
      <c r="J10" s="30">
        <f t="shared" si="1"/>
        <v>28300</v>
      </c>
    </row>
    <row r="11">
      <c r="B11" s="23" t="s">
        <v>13</v>
      </c>
      <c r="C11" s="24">
        <v>44254.0</v>
      </c>
      <c r="D11" s="25">
        <v>1000.0</v>
      </c>
      <c r="E11" s="26">
        <v>28450.0</v>
      </c>
      <c r="F11" s="17"/>
      <c r="G11" s="27" t="s">
        <v>14</v>
      </c>
      <c r="H11" s="28">
        <f t="shared" si="2"/>
        <v>45915</v>
      </c>
      <c r="I11" s="29">
        <v>1400.0</v>
      </c>
      <c r="J11" s="30">
        <f t="shared" si="1"/>
        <v>29700</v>
      </c>
    </row>
    <row r="12">
      <c r="B12" s="23" t="s">
        <v>14</v>
      </c>
      <c r="C12" s="24">
        <v>44254.0</v>
      </c>
      <c r="D12" s="25">
        <v>1400.0</v>
      </c>
      <c r="E12" s="26">
        <v>29850.0</v>
      </c>
      <c r="F12" s="17"/>
      <c r="G12" s="27" t="s">
        <v>15</v>
      </c>
      <c r="H12" s="28">
        <f t="shared" si="2"/>
        <v>45915</v>
      </c>
      <c r="I12" s="29">
        <v>1200.0</v>
      </c>
      <c r="J12" s="30">
        <f t="shared" si="1"/>
        <v>30900</v>
      </c>
    </row>
    <row r="13">
      <c r="B13" s="23" t="s">
        <v>15</v>
      </c>
      <c r="C13" s="24">
        <v>44254.0</v>
      </c>
      <c r="D13" s="25">
        <v>1200.0</v>
      </c>
      <c r="E13" s="26">
        <v>31050.0</v>
      </c>
      <c r="F13" s="17"/>
      <c r="G13" s="27" t="s">
        <v>16</v>
      </c>
      <c r="H13" s="28">
        <v>45915.0</v>
      </c>
      <c r="I13" s="29">
        <v>2500.0</v>
      </c>
      <c r="J13" s="30">
        <f t="shared" si="1"/>
        <v>33400</v>
      </c>
      <c r="O13" s="17"/>
    </row>
    <row r="14">
      <c r="B14" s="23" t="s">
        <v>17</v>
      </c>
      <c r="C14" s="24">
        <v>44254.0</v>
      </c>
      <c r="D14" s="25">
        <v>5000.0</v>
      </c>
      <c r="E14" s="26">
        <v>36050.0</v>
      </c>
      <c r="F14" s="17"/>
      <c r="G14" s="27" t="s">
        <v>18</v>
      </c>
      <c r="H14" s="28">
        <f>H13</f>
        <v>45915</v>
      </c>
      <c r="I14" s="29">
        <f>1500*(1+H27)/3</f>
        <v>665</v>
      </c>
      <c r="J14" s="30">
        <f t="shared" si="1"/>
        <v>34065</v>
      </c>
      <c r="O14" s="17"/>
    </row>
    <row r="15">
      <c r="B15" s="23" t="s">
        <v>19</v>
      </c>
      <c r="C15" s="24">
        <v>44254.0</v>
      </c>
      <c r="D15" s="25">
        <v>1500.0</v>
      </c>
      <c r="E15" s="26">
        <v>37550.0</v>
      </c>
      <c r="F15" s="17"/>
      <c r="G15" s="27" t="s">
        <v>20</v>
      </c>
      <c r="H15" s="28">
        <v>45922.0</v>
      </c>
      <c r="I15" s="29">
        <f>5000/2</f>
        <v>2500</v>
      </c>
      <c r="J15" s="30">
        <f t="shared" si="1"/>
        <v>36565</v>
      </c>
      <c r="O15" s="17"/>
    </row>
    <row r="16">
      <c r="B16" s="23" t="s">
        <v>21</v>
      </c>
      <c r="C16" s="24">
        <v>44283.0</v>
      </c>
      <c r="D16" s="25">
        <v>25000.0</v>
      </c>
      <c r="E16" s="26">
        <v>62550.0</v>
      </c>
      <c r="F16" s="17"/>
      <c r="G16" s="27" t="s">
        <v>22</v>
      </c>
      <c r="H16" s="28">
        <v>45922.0</v>
      </c>
      <c r="I16" s="29">
        <f>I14</f>
        <v>665</v>
      </c>
      <c r="J16" s="30">
        <f t="shared" si="1"/>
        <v>37230</v>
      </c>
      <c r="K16" s="17"/>
      <c r="O16" s="17"/>
    </row>
    <row r="17">
      <c r="B17" s="23" t="s">
        <v>23</v>
      </c>
      <c r="C17" s="24">
        <v>44284.0</v>
      </c>
      <c r="D17" s="25">
        <v>2000.0</v>
      </c>
      <c r="E17" s="26">
        <v>64550.0</v>
      </c>
      <c r="G17" s="27" t="s">
        <v>24</v>
      </c>
      <c r="H17" s="28">
        <v>45927.0</v>
      </c>
      <c r="I17" s="29">
        <f>I14</f>
        <v>665</v>
      </c>
      <c r="J17" s="30">
        <f t="shared" si="1"/>
        <v>37895</v>
      </c>
      <c r="O17" s="17"/>
    </row>
    <row r="18">
      <c r="B18" s="31" t="s">
        <v>25</v>
      </c>
      <c r="C18" s="32">
        <v>44289.0</v>
      </c>
      <c r="D18" s="33">
        <v>5000.0</v>
      </c>
      <c r="E18" s="34">
        <v>69550.0</v>
      </c>
      <c r="G18" s="27" t="s">
        <v>21</v>
      </c>
      <c r="H18" s="35">
        <v>45949.0</v>
      </c>
      <c r="I18" s="36">
        <v>25000.0</v>
      </c>
      <c r="J18" s="30">
        <f t="shared" si="1"/>
        <v>62895</v>
      </c>
    </row>
    <row r="19">
      <c r="B19" s="22"/>
      <c r="C19" s="37"/>
      <c r="G19" s="27" t="s">
        <v>23</v>
      </c>
      <c r="H19" s="38">
        <v>45950.0</v>
      </c>
      <c r="I19" s="36">
        <f>2000*(1+H26)</f>
        <v>4887.142857</v>
      </c>
      <c r="J19" s="30">
        <f t="shared" si="1"/>
        <v>67782.14286</v>
      </c>
    </row>
    <row r="20">
      <c r="B20" s="22"/>
      <c r="G20" s="39" t="s">
        <v>26</v>
      </c>
      <c r="H20" s="40">
        <v>45955.0</v>
      </c>
      <c r="I20" s="41">
        <f>5000*(1+H26)</f>
        <v>12217.85714</v>
      </c>
      <c r="J20" s="42">
        <f t="shared" si="1"/>
        <v>80000</v>
      </c>
    </row>
    <row r="21" ht="15.75" customHeight="1">
      <c r="B21" s="22"/>
      <c r="C21" s="43"/>
    </row>
    <row r="22" ht="15.0" customHeight="1">
      <c r="B22" s="22"/>
      <c r="C22" s="44"/>
      <c r="D22" s="45"/>
      <c r="G22" s="46"/>
    </row>
    <row r="23" ht="15.75" customHeight="1">
      <c r="B23" s="47"/>
      <c r="C23" s="48"/>
      <c r="D23" s="49"/>
      <c r="E23" s="49"/>
      <c r="G23" s="50" t="s">
        <v>27</v>
      </c>
      <c r="H23" s="51"/>
      <c r="I23" s="51"/>
      <c r="J23" s="52"/>
    </row>
    <row r="24" ht="15.75" customHeight="1">
      <c r="B24" s="47"/>
      <c r="C24" s="48"/>
      <c r="D24" s="49"/>
      <c r="E24" s="49"/>
      <c r="G24" s="53" t="s">
        <v>28</v>
      </c>
      <c r="H24" s="54">
        <v>80000.0</v>
      </c>
      <c r="I24" s="55"/>
      <c r="J24" s="55"/>
    </row>
    <row r="25" ht="15.75" customHeight="1">
      <c r="B25" s="47"/>
      <c r="C25" s="48"/>
      <c r="D25" s="49"/>
      <c r="E25" s="49"/>
      <c r="G25" s="55" t="s">
        <v>29</v>
      </c>
      <c r="H25" s="55"/>
      <c r="I25" s="55"/>
      <c r="J25" s="55"/>
    </row>
    <row r="26" ht="15.75" customHeight="1">
      <c r="B26" s="47"/>
      <c r="C26" s="48"/>
      <c r="D26" s="49"/>
      <c r="E26" s="49"/>
      <c r="G26" s="53" t="s">
        <v>30</v>
      </c>
      <c r="H26" s="56">
        <v>1.4435714285714287</v>
      </c>
      <c r="I26" s="55"/>
      <c r="J26" s="55"/>
    </row>
    <row r="27" ht="15.75" customHeight="1">
      <c r="B27" s="47"/>
      <c r="C27" s="48"/>
      <c r="D27" s="49"/>
      <c r="E27" s="49"/>
      <c r="G27" s="53" t="s">
        <v>31</v>
      </c>
      <c r="H27" s="57">
        <v>0.33</v>
      </c>
      <c r="I27" s="58" t="s">
        <v>32</v>
      </c>
      <c r="J27" s="59"/>
    </row>
    <row r="28" ht="15.75" customHeight="1">
      <c r="B28" s="47"/>
      <c r="C28" s="48"/>
      <c r="D28" s="49"/>
      <c r="E28" s="49"/>
      <c r="G28" s="53" t="s">
        <v>33</v>
      </c>
      <c r="H28" s="55"/>
      <c r="I28" s="55"/>
      <c r="J28" s="60"/>
    </row>
    <row r="29" ht="15.75" customHeight="1">
      <c r="B29" s="47"/>
      <c r="C29" s="48"/>
      <c r="D29" s="49"/>
      <c r="E29" s="49"/>
      <c r="G29" s="53" t="s">
        <v>34</v>
      </c>
      <c r="H29" s="55"/>
      <c r="I29" s="55"/>
      <c r="J29" s="60"/>
    </row>
    <row r="30" ht="15.75" customHeight="1">
      <c r="B30" s="47"/>
      <c r="C30" s="48"/>
      <c r="D30" s="49"/>
      <c r="E30" s="49"/>
    </row>
    <row r="31" ht="15.75" customHeight="1">
      <c r="B31" s="47"/>
      <c r="C31" s="48"/>
      <c r="D31" s="49"/>
      <c r="E31" s="49"/>
    </row>
    <row r="32" ht="15.75" customHeight="1">
      <c r="B32" s="47"/>
      <c r="C32" s="48"/>
      <c r="D32" s="49"/>
      <c r="E32" s="49"/>
    </row>
    <row r="33" ht="15.75" customHeight="1">
      <c r="B33" s="47"/>
      <c r="C33" s="48"/>
      <c r="D33" s="49"/>
      <c r="E33" s="49"/>
    </row>
    <row r="34" ht="15.75" customHeight="1">
      <c r="B34" s="47"/>
      <c r="C34" s="48"/>
      <c r="D34" s="49"/>
      <c r="E34" s="49"/>
    </row>
    <row r="35" ht="15.75" customHeight="1">
      <c r="B35" s="47"/>
      <c r="C35" s="48"/>
      <c r="D35" s="49"/>
      <c r="E35" s="49"/>
    </row>
    <row r="36" ht="15.75" customHeight="1">
      <c r="B36" s="47"/>
      <c r="C36" s="48"/>
      <c r="D36" s="49"/>
      <c r="E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E2"/>
    <mergeCell ref="D22:E22"/>
    <mergeCell ref="G23:J23"/>
    <mergeCell ref="I27:J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2025-08-11T05:42:48Z</dcterms:created>
  <dc:creator>Yang Ong</dc:creator>
</cp:coreProperties>
</file>